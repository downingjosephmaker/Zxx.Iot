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I:\ProjectSynthesis\EnergyPlatform\ZhjngkWebApi_V5\ZhjngkWebApi\wwwroot\Templates\"/>
    </mc:Choice>
  </mc:AlternateContent>
  <xr:revisionPtr revIDLastSave="0" documentId="13_ncr:1_{D6515781-50C7-40DC-B181-751BD95F7A31}" xr6:coauthVersionLast="36" xr6:coauthVersionMax="36" xr10:uidLastSave="{00000000-0000-0000-0000-000000000000}"/>
  <bookViews>
    <workbookView xWindow="0" yWindow="0" windowWidth="27945" windowHeight="1225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E33" i="1" l="1"/>
  <c r="E14" i="1"/>
  <c r="E16" i="1"/>
  <c r="E9" i="1"/>
  <c r="E7" i="1"/>
  <c r="E39" i="1"/>
  <c r="E38" i="1"/>
  <c r="E37" i="1"/>
  <c r="E36" i="1"/>
  <c r="E34" i="1"/>
  <c r="E32" i="1"/>
  <c r="E31" i="1"/>
  <c r="E30" i="1"/>
  <c r="E29" i="1"/>
  <c r="E28" i="1"/>
  <c r="E27" i="1"/>
  <c r="E26" i="1"/>
  <c r="E25" i="1"/>
  <c r="E24" i="1"/>
  <c r="E23" i="1"/>
  <c r="E22" i="1"/>
  <c r="E21" i="1"/>
  <c r="E19" i="1"/>
  <c r="E18" i="1"/>
  <c r="E17" i="1"/>
  <c r="E11" i="1"/>
  <c r="G7" i="1" l="1"/>
  <c r="G39" i="1" l="1"/>
  <c r="G38" i="1"/>
  <c r="G37" i="1"/>
  <c r="G36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9" i="1"/>
  <c r="G18" i="1"/>
  <c r="G17" i="1"/>
  <c r="G16" i="1"/>
  <c r="G14" i="1"/>
  <c r="G11" i="1"/>
  <c r="G9" i="1"/>
  <c r="G41" i="1" l="1"/>
</calcChain>
</file>

<file path=xl/sharedStrings.xml><?xml version="1.0" encoding="utf-8"?>
<sst xmlns="http://schemas.openxmlformats.org/spreadsheetml/2006/main" count="44" uniqueCount="44">
  <si>
    <t>野猫墩园区</t>
  </si>
  <si>
    <t>配电房</t>
  </si>
  <si>
    <t>名称</t>
  </si>
  <si>
    <t>野猫墩配电房</t>
  </si>
  <si>
    <t>地址</t>
  </si>
  <si>
    <t>容量</t>
  </si>
  <si>
    <t>9930KVA</t>
  </si>
  <si>
    <t>上期抄表</t>
  </si>
  <si>
    <t>本期抄表</t>
  </si>
  <si>
    <t>差值</t>
  </si>
  <si>
    <t>倍率</t>
  </si>
  <si>
    <t>表记电量</t>
  </si>
  <si>
    <t>使用单位</t>
  </si>
  <si>
    <t>备注</t>
  </si>
  <si>
    <t>高压柜</t>
  </si>
  <si>
    <t>高压进线 G1</t>
  </si>
  <si>
    <t>计量柜</t>
  </si>
  <si>
    <t>2#主变柜</t>
  </si>
  <si>
    <t>低压柜</t>
  </si>
  <si>
    <t>低压总柜</t>
  </si>
  <si>
    <t>2#物流库AP2</t>
  </si>
  <si>
    <t>2#物流库</t>
  </si>
  <si>
    <t>1#物流库</t>
  </si>
  <si>
    <t>1#物流库AP2</t>
  </si>
  <si>
    <t>研发厂房KTZ1</t>
  </si>
  <si>
    <t>研发厂房AP1</t>
  </si>
  <si>
    <t>综合楼消防</t>
  </si>
  <si>
    <t>1#物流库消防</t>
  </si>
  <si>
    <t>2#物流库消防</t>
  </si>
  <si>
    <t>雨水回收库</t>
  </si>
  <si>
    <t>综合楼KTZ2</t>
  </si>
  <si>
    <t>综合楼AP2</t>
  </si>
  <si>
    <t>室外照明</t>
  </si>
  <si>
    <t>非机动车棚</t>
  </si>
  <si>
    <t>门卫</t>
  </si>
  <si>
    <t>泵房</t>
  </si>
  <si>
    <t>研发厂房消防</t>
  </si>
  <si>
    <t>配电室</t>
  </si>
  <si>
    <t>充电桩1</t>
  </si>
  <si>
    <t>充电桩2</t>
  </si>
  <si>
    <t>充电桩3</t>
  </si>
  <si>
    <t>充电桩4</t>
  </si>
  <si>
    <t>合计</t>
  </si>
  <si>
    <t>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</si>
</sst>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57" fontId="1" fillId="0" borderId="17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B1" workbookViewId="0">
      <selection activeCell="O14" sqref="O14"/>
    </sheetView>
  </sheetViews>
  <sheetFormatPr defaultColWidth="9" defaultRowHeight="13.5" x14ac:dyDescent="0.15"/>
  <cols>
    <col min="1" max="1" width="0" hidden="1" customWidth="1"/>
    <col min="2" max="2" width="16.75" customWidth="1"/>
    <col min="3" max="3" width="9.75" customWidth="1"/>
  </cols>
  <sheetData>
    <row r="1" spans="1:9" ht="18.75" x14ac:dyDescent="0.15">
      <c r="B1" s="29" t="s">
        <v>1</v>
      </c>
      <c r="C1" s="29"/>
      <c r="D1" s="29"/>
      <c r="E1" s="29"/>
      <c r="F1" s="29"/>
      <c r="G1" s="29"/>
      <c r="H1" s="29"/>
      <c r="I1" s="29"/>
    </row>
    <row r="2" spans="1:9" ht="14.25" x14ac:dyDescent="0.15">
      <c r="B2" s="1"/>
      <c r="C2" s="1"/>
      <c r="D2" s="1"/>
      <c r="E2" s="1"/>
      <c r="F2" s="1"/>
      <c r="G2" s="1"/>
      <c r="H2" s="1"/>
      <c r="I2" s="1"/>
    </row>
    <row r="3" spans="1:9" ht="14.25" x14ac:dyDescent="0.15">
      <c r="A3" s="25" t="s">
        <v>43</v>
      </c>
      <c r="B3" s="2" t="s">
        <v>2</v>
      </c>
      <c r="C3" s="3" t="s">
        <v>3</v>
      </c>
      <c r="D3" s="4"/>
      <c r="E3" s="4" t="s">
        <v>4</v>
      </c>
      <c r="F3" s="30" t="s">
        <v>0</v>
      </c>
      <c r="G3" s="31"/>
      <c r="H3" s="31"/>
      <c r="I3" s="32"/>
    </row>
    <row r="4" spans="1:9" ht="14.25" x14ac:dyDescent="0.15">
      <c r="B4" s="5" t="s">
        <v>5</v>
      </c>
      <c r="C4" s="6" t="s">
        <v>6</v>
      </c>
      <c r="D4" s="6"/>
      <c r="E4" s="6"/>
      <c r="F4" s="6"/>
      <c r="G4" s="7"/>
      <c r="H4" s="7"/>
      <c r="I4" s="8"/>
    </row>
    <row r="5" spans="1:9" ht="14.25" x14ac:dyDescent="0.15">
      <c r="B5" s="5"/>
      <c r="C5" s="6" t="s">
        <v>7</v>
      </c>
      <c r="D5" s="6" t="s">
        <v>8</v>
      </c>
      <c r="E5" s="6" t="s">
        <v>9</v>
      </c>
      <c r="F5" s="6" t="s">
        <v>10</v>
      </c>
      <c r="G5" s="8" t="s">
        <v>11</v>
      </c>
      <c r="H5" s="8" t="s">
        <v>12</v>
      </c>
      <c r="I5" s="8" t="s">
        <v>13</v>
      </c>
    </row>
    <row r="6" spans="1:9" ht="18.75" x14ac:dyDescent="0.15">
      <c r="B6" s="9" t="s">
        <v>14</v>
      </c>
      <c r="C6" s="6"/>
      <c r="D6" s="6"/>
      <c r="E6" s="6"/>
      <c r="F6" s="6"/>
      <c r="G6" s="7"/>
      <c r="H6" s="7"/>
      <c r="I6" s="8"/>
    </row>
    <row r="7" spans="1:9" ht="14.25" x14ac:dyDescent="0.15">
      <c r="A7" s="24">
        <v>169</v>
      </c>
      <c r="B7" s="5" t="s">
        <v>15</v>
      </c>
      <c r="C7" s="6"/>
      <c r="D7" s="6"/>
      <c r="E7" s="26">
        <f>D7-C7</f>
        <v>0</v>
      </c>
      <c r="F7" s="6">
        <v>1</v>
      </c>
      <c r="G7" s="7">
        <f>F7*E7</f>
        <v>0</v>
      </c>
      <c r="H7" s="10"/>
      <c r="I7" s="8"/>
    </row>
    <row r="8" spans="1:9" ht="14.25" x14ac:dyDescent="0.15">
      <c r="A8" s="24"/>
      <c r="B8" s="5"/>
      <c r="C8" s="6"/>
      <c r="D8" s="6"/>
      <c r="E8" s="26"/>
      <c r="F8" s="6"/>
      <c r="G8" s="7"/>
      <c r="H8" s="7"/>
      <c r="I8" s="8"/>
    </row>
    <row r="9" spans="1:9" ht="14.25" x14ac:dyDescent="0.15">
      <c r="A9" s="24"/>
      <c r="B9" s="5" t="s">
        <v>16</v>
      </c>
      <c r="C9" s="6"/>
      <c r="D9" s="6"/>
      <c r="E9" s="26">
        <f>D9-C9</f>
        <v>0</v>
      </c>
      <c r="F9" s="6">
        <v>6000</v>
      </c>
      <c r="G9" s="7">
        <f t="shared" ref="G9:G11" si="0">F9*E9</f>
        <v>0</v>
      </c>
      <c r="H9" s="7"/>
      <c r="I9" s="8"/>
    </row>
    <row r="10" spans="1:9" ht="14.25" x14ac:dyDescent="0.15">
      <c r="A10" s="24"/>
      <c r="B10" s="5"/>
      <c r="C10" s="6"/>
      <c r="D10" s="6"/>
      <c r="E10" s="26"/>
      <c r="F10" s="6"/>
      <c r="G10" s="7"/>
      <c r="H10" s="7"/>
      <c r="I10" s="8"/>
    </row>
    <row r="11" spans="1:9" ht="14.25" x14ac:dyDescent="0.15">
      <c r="A11" s="24"/>
      <c r="B11" s="5" t="s">
        <v>17</v>
      </c>
      <c r="C11" s="11"/>
      <c r="D11" s="11"/>
      <c r="E11" s="27">
        <f t="shared" ref="E11" si="1">D11-C11</f>
        <v>0</v>
      </c>
      <c r="F11" s="6">
        <v>1</v>
      </c>
      <c r="G11" s="7">
        <f t="shared" si="0"/>
        <v>0</v>
      </c>
      <c r="H11" s="7"/>
      <c r="I11" s="8"/>
    </row>
    <row r="12" spans="1:9" ht="14.25" x14ac:dyDescent="0.15">
      <c r="A12" s="24"/>
      <c r="B12" s="5"/>
      <c r="C12" s="6"/>
      <c r="D12" s="6"/>
      <c r="E12" s="26"/>
      <c r="F12" s="6"/>
      <c r="G12" s="7"/>
      <c r="H12" s="7"/>
      <c r="I12" s="8"/>
    </row>
    <row r="13" spans="1:9" ht="18.75" x14ac:dyDescent="0.15">
      <c r="A13" s="24"/>
      <c r="B13" s="9" t="s">
        <v>18</v>
      </c>
      <c r="C13" s="6"/>
      <c r="D13" s="6"/>
      <c r="E13" s="26"/>
      <c r="F13" s="6"/>
      <c r="G13" s="7"/>
      <c r="H13" s="7"/>
      <c r="I13" s="8"/>
    </row>
    <row r="14" spans="1:9" ht="14.25" x14ac:dyDescent="0.15">
      <c r="A14" s="24">
        <v>228</v>
      </c>
      <c r="B14" s="5" t="s">
        <v>19</v>
      </c>
      <c r="C14" s="6"/>
      <c r="D14" s="6"/>
      <c r="E14" s="26">
        <f>D14-C14</f>
        <v>0</v>
      </c>
      <c r="F14" s="6">
        <v>1</v>
      </c>
      <c r="G14" s="7">
        <f>F14*E14</f>
        <v>0</v>
      </c>
      <c r="H14" s="7"/>
      <c r="I14" s="8"/>
    </row>
    <row r="15" spans="1:9" ht="14.25" x14ac:dyDescent="0.15">
      <c r="A15" s="24"/>
      <c r="B15" s="5"/>
      <c r="C15" s="6"/>
      <c r="D15" s="6"/>
      <c r="E15" s="26"/>
      <c r="F15" s="6"/>
      <c r="G15" s="7"/>
      <c r="H15" s="7"/>
      <c r="I15" s="8"/>
    </row>
    <row r="16" spans="1:9" ht="14.25" x14ac:dyDescent="0.15">
      <c r="A16" s="24">
        <v>234</v>
      </c>
      <c r="B16" s="12" t="s">
        <v>20</v>
      </c>
      <c r="C16" s="6"/>
      <c r="D16" s="6"/>
      <c r="E16" s="26">
        <f>D16-C16</f>
        <v>0</v>
      </c>
      <c r="F16" s="6">
        <v>1</v>
      </c>
      <c r="G16" s="7">
        <f>F16*E16</f>
        <v>0</v>
      </c>
      <c r="H16" s="7"/>
      <c r="I16" s="8"/>
    </row>
    <row r="17" spans="1:9" ht="14.25" x14ac:dyDescent="0.15">
      <c r="A17" s="24">
        <v>235</v>
      </c>
      <c r="B17" s="12" t="s">
        <v>21</v>
      </c>
      <c r="C17" s="6"/>
      <c r="D17" s="6"/>
      <c r="E17" s="26">
        <f>D17-C17</f>
        <v>0</v>
      </c>
      <c r="F17" s="6">
        <v>1</v>
      </c>
      <c r="G17" s="7">
        <f>F17*E17</f>
        <v>0</v>
      </c>
      <c r="H17" s="7"/>
      <c r="I17" s="8"/>
    </row>
    <row r="18" spans="1:9" ht="14.25" x14ac:dyDescent="0.15">
      <c r="A18" s="24">
        <v>236</v>
      </c>
      <c r="B18" s="12" t="s">
        <v>22</v>
      </c>
      <c r="C18" s="6"/>
      <c r="D18" s="6"/>
      <c r="E18" s="26">
        <f>D18-C18</f>
        <v>0</v>
      </c>
      <c r="F18" s="6">
        <v>1</v>
      </c>
      <c r="G18" s="7">
        <f>F18*E18</f>
        <v>0</v>
      </c>
      <c r="H18" s="7"/>
      <c r="I18" s="8"/>
    </row>
    <row r="19" spans="1:9" ht="14.25" x14ac:dyDescent="0.15">
      <c r="A19" s="24">
        <v>237</v>
      </c>
      <c r="B19" s="12" t="s">
        <v>23</v>
      </c>
      <c r="C19" s="6"/>
      <c r="D19" s="6"/>
      <c r="E19" s="26">
        <f>D19-C19</f>
        <v>0</v>
      </c>
      <c r="F19" s="6">
        <v>1</v>
      </c>
      <c r="G19" s="7">
        <f>F19*E19</f>
        <v>0</v>
      </c>
      <c r="H19" s="7"/>
      <c r="I19" s="8"/>
    </row>
    <row r="20" spans="1:9" ht="14.25" x14ac:dyDescent="0.15">
      <c r="A20" s="24"/>
      <c r="B20" s="5"/>
      <c r="C20" s="6"/>
      <c r="D20" s="6"/>
      <c r="E20" s="26"/>
      <c r="F20" s="6"/>
      <c r="G20" s="7"/>
      <c r="H20" s="7"/>
      <c r="I20" s="8"/>
    </row>
    <row r="21" spans="1:9" ht="14.25" x14ac:dyDescent="0.15">
      <c r="A21" s="24">
        <v>238</v>
      </c>
      <c r="B21" s="12" t="s">
        <v>24</v>
      </c>
      <c r="C21" s="6"/>
      <c r="D21" s="6"/>
      <c r="E21" s="26">
        <f>D21-C21</f>
        <v>0</v>
      </c>
      <c r="F21" s="6">
        <v>1</v>
      </c>
      <c r="G21" s="7">
        <f>F21*E21</f>
        <v>0</v>
      </c>
      <c r="H21" s="7"/>
      <c r="I21" s="8"/>
    </row>
    <row r="22" spans="1:9" ht="14.25" x14ac:dyDescent="0.15">
      <c r="A22" s="24">
        <v>239</v>
      </c>
      <c r="B22" s="12" t="s">
        <v>25</v>
      </c>
      <c r="C22" s="6"/>
      <c r="D22" s="6"/>
      <c r="E22" s="26">
        <f>D22-C22</f>
        <v>0</v>
      </c>
      <c r="F22" s="6">
        <v>1</v>
      </c>
      <c r="G22" s="7">
        <f>F22*E22</f>
        <v>0</v>
      </c>
      <c r="H22" s="7"/>
      <c r="I22" s="8"/>
    </row>
    <row r="23" spans="1:9" ht="14.25" x14ac:dyDescent="0.15">
      <c r="A23" s="24">
        <v>246</v>
      </c>
      <c r="B23" s="5" t="s">
        <v>26</v>
      </c>
      <c r="C23" s="6"/>
      <c r="D23" s="6"/>
      <c r="E23" s="26">
        <f t="shared" ref="E23:E34" si="2">D23-C23</f>
        <v>0</v>
      </c>
      <c r="F23" s="6">
        <v>1</v>
      </c>
      <c r="G23" s="7">
        <f t="shared" ref="G23:G32" si="3">F23*E23</f>
        <v>0</v>
      </c>
      <c r="H23" s="7"/>
      <c r="I23" s="8"/>
    </row>
    <row r="24" spans="1:9" ht="14.25" x14ac:dyDescent="0.15">
      <c r="A24" s="24">
        <v>250</v>
      </c>
      <c r="B24" s="5" t="s">
        <v>27</v>
      </c>
      <c r="C24" s="6"/>
      <c r="D24" s="6"/>
      <c r="E24" s="26">
        <f t="shared" si="2"/>
        <v>0</v>
      </c>
      <c r="F24" s="6">
        <v>1</v>
      </c>
      <c r="G24" s="7">
        <f t="shared" si="3"/>
        <v>0</v>
      </c>
      <c r="H24" s="7"/>
      <c r="I24" s="13"/>
    </row>
    <row r="25" spans="1:9" ht="14.25" x14ac:dyDescent="0.15">
      <c r="A25" s="24">
        <v>249</v>
      </c>
      <c r="B25" s="5" t="s">
        <v>28</v>
      </c>
      <c r="C25" s="6"/>
      <c r="D25" s="6"/>
      <c r="E25" s="26">
        <f t="shared" si="2"/>
        <v>0</v>
      </c>
      <c r="F25" s="6">
        <v>1</v>
      </c>
      <c r="G25" s="7">
        <f t="shared" si="3"/>
        <v>0</v>
      </c>
      <c r="H25" s="7"/>
      <c r="I25" s="8"/>
    </row>
    <row r="26" spans="1:9" ht="14.25" x14ac:dyDescent="0.15">
      <c r="A26" s="24">
        <v>240</v>
      </c>
      <c r="B26" s="12" t="s">
        <v>29</v>
      </c>
      <c r="C26" s="6"/>
      <c r="D26" s="6"/>
      <c r="E26" s="26">
        <f t="shared" si="2"/>
        <v>0</v>
      </c>
      <c r="F26" s="6">
        <v>1</v>
      </c>
      <c r="G26" s="7">
        <f t="shared" si="3"/>
        <v>0</v>
      </c>
      <c r="H26" s="7"/>
      <c r="I26" s="8"/>
    </row>
    <row r="27" spans="1:9" ht="14.25" x14ac:dyDescent="0.15">
      <c r="A27" s="24">
        <v>241</v>
      </c>
      <c r="B27" s="12" t="s">
        <v>30</v>
      </c>
      <c r="C27" s="6"/>
      <c r="D27" s="6"/>
      <c r="E27" s="26">
        <f t="shared" si="2"/>
        <v>0</v>
      </c>
      <c r="F27" s="6">
        <v>1</v>
      </c>
      <c r="G27" s="7">
        <f t="shared" si="3"/>
        <v>0</v>
      </c>
      <c r="H27" s="7"/>
      <c r="I27" s="8"/>
    </row>
    <row r="28" spans="1:9" ht="14.25" x14ac:dyDescent="0.15">
      <c r="A28" s="24">
        <v>242</v>
      </c>
      <c r="B28" s="12" t="s">
        <v>31</v>
      </c>
      <c r="C28" s="6"/>
      <c r="D28" s="6"/>
      <c r="E28" s="26">
        <f t="shared" si="2"/>
        <v>0</v>
      </c>
      <c r="F28" s="6">
        <v>1</v>
      </c>
      <c r="G28" s="7">
        <f t="shared" si="3"/>
        <v>0</v>
      </c>
      <c r="H28" s="7"/>
      <c r="I28" s="8"/>
    </row>
    <row r="29" spans="1:9" ht="14.25" x14ac:dyDescent="0.15">
      <c r="A29" s="24">
        <v>243</v>
      </c>
      <c r="B29" s="5" t="s">
        <v>32</v>
      </c>
      <c r="C29" s="6"/>
      <c r="D29" s="6"/>
      <c r="E29" s="26">
        <f t="shared" si="2"/>
        <v>0</v>
      </c>
      <c r="F29" s="6">
        <v>1</v>
      </c>
      <c r="G29" s="7">
        <f t="shared" si="3"/>
        <v>0</v>
      </c>
      <c r="H29" s="7"/>
      <c r="I29" s="8"/>
    </row>
    <row r="30" spans="1:9" ht="14.25" x14ac:dyDescent="0.15">
      <c r="A30" s="24">
        <v>244</v>
      </c>
      <c r="B30" s="12" t="s">
        <v>33</v>
      </c>
      <c r="C30" s="6"/>
      <c r="D30" s="6"/>
      <c r="E30" s="26">
        <f t="shared" si="2"/>
        <v>0</v>
      </c>
      <c r="F30" s="6">
        <v>1</v>
      </c>
      <c r="G30" s="7">
        <f t="shared" si="3"/>
        <v>0</v>
      </c>
      <c r="H30" s="7"/>
      <c r="I30" s="8"/>
    </row>
    <row r="31" spans="1:9" ht="14.25" x14ac:dyDescent="0.15">
      <c r="A31" s="24">
        <v>232</v>
      </c>
      <c r="B31" s="5" t="s">
        <v>34</v>
      </c>
      <c r="C31" s="6"/>
      <c r="D31" s="6"/>
      <c r="E31" s="26">
        <f t="shared" si="2"/>
        <v>0</v>
      </c>
      <c r="F31" s="6">
        <v>1</v>
      </c>
      <c r="G31" s="7">
        <f t="shared" si="3"/>
        <v>0</v>
      </c>
      <c r="H31" s="7"/>
      <c r="I31" s="8"/>
    </row>
    <row r="32" spans="1:9" ht="14.25" x14ac:dyDescent="0.15">
      <c r="A32" s="24">
        <v>251</v>
      </c>
      <c r="B32" s="5" t="s">
        <v>35</v>
      </c>
      <c r="C32" s="6"/>
      <c r="D32" s="6"/>
      <c r="E32" s="26">
        <f t="shared" si="2"/>
        <v>0</v>
      </c>
      <c r="F32" s="6">
        <v>1</v>
      </c>
      <c r="G32" s="7">
        <f t="shared" si="3"/>
        <v>0</v>
      </c>
      <c r="H32" s="7"/>
      <c r="I32" s="8"/>
    </row>
    <row r="33" spans="1:9" ht="14.25" x14ac:dyDescent="0.15">
      <c r="A33" s="24">
        <v>247</v>
      </c>
      <c r="B33" s="5" t="s">
        <v>36</v>
      </c>
      <c r="C33" s="6"/>
      <c r="D33" s="6"/>
      <c r="E33" s="26">
        <f>D33-C33</f>
        <v>0</v>
      </c>
      <c r="F33" s="6">
        <v>1</v>
      </c>
      <c r="G33" s="7">
        <f>E33*F33</f>
        <v>0</v>
      </c>
      <c r="H33" s="7"/>
      <c r="I33" s="8"/>
    </row>
    <row r="34" spans="1:9" ht="14.25" x14ac:dyDescent="0.15">
      <c r="A34" s="24">
        <v>245</v>
      </c>
      <c r="B34" s="5" t="s">
        <v>37</v>
      </c>
      <c r="C34" s="6"/>
      <c r="D34" s="6"/>
      <c r="E34" s="26">
        <f t="shared" si="2"/>
        <v>0</v>
      </c>
      <c r="F34" s="6">
        <v>1</v>
      </c>
      <c r="G34" s="7">
        <f>F34*E34</f>
        <v>0</v>
      </c>
      <c r="H34" s="7"/>
      <c r="I34" s="8"/>
    </row>
    <row r="35" spans="1:9" ht="14.25" x14ac:dyDescent="0.15">
      <c r="A35" s="24"/>
      <c r="B35" s="5"/>
      <c r="C35" s="6"/>
      <c r="D35" s="6"/>
      <c r="E35" s="26"/>
      <c r="F35" s="6"/>
      <c r="G35" s="7"/>
      <c r="H35" s="7"/>
      <c r="I35" s="8"/>
    </row>
    <row r="36" spans="1:9" ht="14.25" x14ac:dyDescent="0.15">
      <c r="A36" s="24">
        <v>255</v>
      </c>
      <c r="B36" s="5" t="s">
        <v>38</v>
      </c>
      <c r="C36" s="14"/>
      <c r="D36" s="14"/>
      <c r="E36" s="28">
        <f>D36-C36</f>
        <v>0</v>
      </c>
      <c r="F36" s="14">
        <v>1</v>
      </c>
      <c r="G36" s="15">
        <f>F36*E36</f>
        <v>0</v>
      </c>
      <c r="H36" s="7"/>
      <c r="I36" s="8"/>
    </row>
    <row r="37" spans="1:9" ht="14.25" x14ac:dyDescent="0.15">
      <c r="A37" s="24">
        <v>254</v>
      </c>
      <c r="B37" s="5" t="s">
        <v>39</v>
      </c>
      <c r="C37" s="6"/>
      <c r="D37" s="6"/>
      <c r="E37" s="26">
        <f>D37-C37</f>
        <v>0</v>
      </c>
      <c r="F37" s="6">
        <v>1</v>
      </c>
      <c r="G37" s="7">
        <f>F37*E37</f>
        <v>0</v>
      </c>
      <c r="H37" s="7"/>
      <c r="I37" s="8"/>
    </row>
    <row r="38" spans="1:9" ht="14.25" x14ac:dyDescent="0.15">
      <c r="A38" s="24">
        <v>253</v>
      </c>
      <c r="B38" s="5" t="s">
        <v>40</v>
      </c>
      <c r="C38" s="6"/>
      <c r="D38" s="6"/>
      <c r="E38" s="26">
        <f>D38-C38</f>
        <v>0</v>
      </c>
      <c r="F38" s="6">
        <v>1</v>
      </c>
      <c r="G38" s="7">
        <f>F38*E38</f>
        <v>0</v>
      </c>
      <c r="H38" s="7"/>
      <c r="I38" s="8"/>
    </row>
    <row r="39" spans="1:9" ht="14.25" x14ac:dyDescent="0.15">
      <c r="A39" s="24">
        <v>252</v>
      </c>
      <c r="B39" s="5" t="s">
        <v>41</v>
      </c>
      <c r="C39" s="6"/>
      <c r="D39" s="6"/>
      <c r="E39" s="26">
        <f>D39-C39</f>
        <v>0</v>
      </c>
      <c r="F39" s="6">
        <v>1</v>
      </c>
      <c r="G39" s="7">
        <f>F39*E39</f>
        <v>0</v>
      </c>
      <c r="H39" s="7"/>
      <c r="I39" s="8"/>
    </row>
    <row r="40" spans="1:9" ht="14.25" x14ac:dyDescent="0.15">
      <c r="B40" s="5"/>
      <c r="C40" s="6"/>
      <c r="D40" s="6"/>
      <c r="E40" s="6"/>
      <c r="F40" s="6"/>
      <c r="G40" s="7"/>
      <c r="H40" s="7"/>
      <c r="I40" s="8"/>
    </row>
    <row r="41" spans="1:9" ht="14.25" x14ac:dyDescent="0.15">
      <c r="B41" s="16" t="s">
        <v>42</v>
      </c>
      <c r="C41" s="17"/>
      <c r="D41" s="17"/>
      <c r="E41" s="17"/>
      <c r="F41" s="17"/>
      <c r="G41" s="18">
        <f>SUM(G16:G39)</f>
        <v>0</v>
      </c>
      <c r="H41" s="18"/>
      <c r="I41" s="19"/>
    </row>
    <row r="42" spans="1:9" ht="14.25" x14ac:dyDescent="0.15">
      <c r="B42" s="20"/>
      <c r="C42" s="21"/>
      <c r="D42" s="21"/>
      <c r="E42" s="21"/>
      <c r="F42" s="21"/>
      <c r="G42" s="22"/>
      <c r="H42" s="22"/>
      <c r="I42" s="23"/>
    </row>
    <row r="43" spans="1:9" ht="14.25" x14ac:dyDescent="0.15">
      <c r="B43" s="1"/>
      <c r="C43" s="1"/>
      <c r="D43" s="1"/>
      <c r="E43" s="1"/>
      <c r="F43" s="1"/>
      <c r="G43" s="1"/>
      <c r="H43" s="33">
        <v>45809</v>
      </c>
      <c r="I43" s="34"/>
    </row>
    <row r="44" spans="1:9" ht="14.25" x14ac:dyDescent="0.15">
      <c r="B44" s="35"/>
      <c r="C44" s="35"/>
      <c r="D44" s="35"/>
      <c r="E44" s="35"/>
      <c r="F44" s="35"/>
      <c r="G44" s="35"/>
      <c r="H44" s="35"/>
      <c r="I44" s="35"/>
    </row>
  </sheetData>
  <mergeCells count="4">
    <mergeCell ref="B1:I1"/>
    <mergeCell ref="F3:I3"/>
    <mergeCell ref="H43:I43"/>
    <mergeCell ref="B44:I4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cp:lastPrinted>2025-06-27T06:06:10Z</cp:lastPrinted>
  <dcterms:created xsi:type="dcterms:W3CDTF">2024-09-27T04:39:00Z</dcterms:created>
  <dcterms:modified xsi:type="dcterms:W3CDTF">2025-07-01T03:33:34Z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479DAB93EC27448B96C50320106ADA9E_12</vt:lpwstr>
  </property>
</Properties>
</file>